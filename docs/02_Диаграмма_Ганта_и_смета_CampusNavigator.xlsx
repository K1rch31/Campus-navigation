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иаграмма Ганта" sheetId="1" state="visible" r:id="rId3"/>
    <sheet name="Смета" sheetId="2" state="visible" r:id="rId4"/>
    <sheet name="Kanban" sheetId="3" state="visible" r:id="rId5"/>
  </sheets>
  <definedNames>
    <definedName function="false" hidden="false" localSheetId="0" name="_xlnm.Print_Area" vbProcedure="false">'Диаграмма Ганта'!$A$1:$P$37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<sst xmlns="http://schemas.openxmlformats.org/spreadsheetml/2006/main" count="147" uniqueCount="85">
  <si>
    <t xml:space="preserve">Диаграмма Ганта — мобильный гид по кампусу (Кейс 7)</t>
  </si>
  <si>
    <t xml:space="preserve">Период: 05.10.2026 — 01.12.2026. Статусы на 17.10.2026.</t>
  </si>
  <si>
    <t xml:space="preserve">№</t>
  </si>
  <si>
    <t xml:space="preserve">Задача</t>
  </si>
  <si>
    <t xml:space="preserve">Ответственный</t>
  </si>
  <si>
    <t xml:space="preserve">Начало</t>
  </si>
  <si>
    <t xml:space="preserve">Окончание</t>
  </si>
  <si>
    <t xml:space="preserve">Дней</t>
  </si>
  <si>
    <t xml:space="preserve">Статус</t>
  </si>
  <si>
    <t xml:space="preserve">1. Инициация</t>
  </si>
  <si>
    <t xml:space="preserve">1.1</t>
  </si>
  <si>
    <t xml:space="preserve">Выбор кейса и формирование команды</t>
  </si>
  <si>
    <t xml:space="preserve">Кожевникова Ксения</t>
  </si>
  <si>
    <t xml:space="preserve">Done</t>
  </si>
  <si>
    <t xml:space="preserve">1.2</t>
  </si>
  <si>
    <t xml:space="preserve">Устав проекта</t>
  </si>
  <si>
    <t xml:space="preserve">1.3</t>
  </si>
  <si>
    <t xml:space="preserve">Бюджет и смета проекта</t>
  </si>
  <si>
    <t xml:space="preserve">1.4</t>
  </si>
  <si>
    <t xml:space="preserve">Протоколы встреч</t>
  </si>
  <si>
    <t xml:space="preserve">2. Аналитика и дизайн</t>
  </si>
  <si>
    <t xml:space="preserve">2.1</t>
  </si>
  <si>
    <t xml:space="preserve">Сбор User Stories</t>
  </si>
  <si>
    <t xml:space="preserve">Ракова Анастасия</t>
  </si>
  <si>
    <t xml:space="preserve">In Progress</t>
  </si>
  <si>
    <t xml:space="preserve">2.2</t>
  </si>
  <si>
    <t xml:space="preserve">CJM первокурсника</t>
  </si>
  <si>
    <t xml:space="preserve">2.3</t>
  </si>
  <si>
    <t xml:space="preserve">UI-прототип в Figma, 6 экранов</t>
  </si>
  <si>
    <t xml:space="preserve">2.4</t>
  </si>
  <si>
    <t xml:space="preserve">Схема архитектуры и кэширования</t>
  </si>
  <si>
    <t xml:space="preserve">Гуреев Евгений</t>
  </si>
  <si>
    <t xml:space="preserve">2.5</t>
  </si>
  <si>
    <t xml:space="preserve">Матрица рисков и тест-кейсы</t>
  </si>
  <si>
    <t xml:space="preserve">To Do</t>
  </si>
  <si>
    <t xml:space="preserve">3. Разработка</t>
  </si>
  <si>
    <t xml:space="preserve">3.1</t>
  </si>
  <si>
    <t xml:space="preserve">Генерация прототипа в v0.dev</t>
  </si>
  <si>
    <t xml:space="preserve">Тугарин Олег</t>
  </si>
  <si>
    <t xml:space="preserve">3.2</t>
  </si>
  <si>
    <t xml:space="preserve">Вёрстка и адаптация под смартфоны</t>
  </si>
  <si>
    <t xml:space="preserve">3.3</t>
  </si>
  <si>
    <t xml:space="preserve">Оффлайн-режим: кэш карт в LocalStorage</t>
  </si>
  <si>
    <t xml:space="preserve">3.4</t>
  </si>
  <si>
    <t xml:space="preserve">Нормализация поиска «412к» → «412-к»</t>
  </si>
  <si>
    <t xml:space="preserve">3.5</t>
  </si>
  <si>
    <t xml:space="preserve">Деплой на GitHub Pages</t>
  </si>
  <si>
    <t xml:space="preserve">3.6</t>
  </si>
  <si>
    <t xml:space="preserve">Печать стикеров с QR-кодами</t>
  </si>
  <si>
    <t xml:space="preserve">4. Тестирование</t>
  </si>
  <si>
    <t xml:space="preserve">4.1</t>
  </si>
  <si>
    <t xml:space="preserve">Скринкаст демо</t>
  </si>
  <si>
    <t xml:space="preserve">4.2</t>
  </si>
  <si>
    <t xml:space="preserve">Пользовательское тестирование</t>
  </si>
  <si>
    <t xml:space="preserve">4.3</t>
  </si>
  <si>
    <t xml:space="preserve">Багфикс по итогам тестирования</t>
  </si>
  <si>
    <t xml:space="preserve">5. Документация и сдача</t>
  </si>
  <si>
    <t xml:space="preserve">5.1</t>
  </si>
  <si>
    <t xml:space="preserve">Черновик заявки на ПО для ЭВМ</t>
  </si>
  <si>
    <t xml:space="preserve">5.2</t>
  </si>
  <si>
    <t xml:space="preserve">Промежуточный сводный отчёт</t>
  </si>
  <si>
    <t xml:space="preserve">5.3</t>
  </si>
  <si>
    <t xml:space="preserve">Финальный PDF-отчёт</t>
  </si>
  <si>
    <t xml:space="preserve">5.4</t>
  </si>
  <si>
    <t xml:space="preserve">Защита проекта</t>
  </si>
  <si>
    <t xml:space="preserve">Полоса — плановый период задачи. Тёмная полоса — задача выполнена (Done), светлая — запланирована.</t>
  </si>
  <si>
    <t xml:space="preserve">Итого: 22 задачи. Done — 7, In Progress — 2, To Do — 13.</t>
  </si>
  <si>
    <t xml:space="preserve">Смета проекта</t>
  </si>
  <si>
    <t xml:space="preserve">Мобильный гид по кампусу с навигацией (Кейс 7) · 17.10.2026</t>
  </si>
  <si>
    <t xml:space="preserve">Статья затрат</t>
  </si>
  <si>
    <t xml:space="preserve">Стоимость</t>
  </si>
  <si>
    <t xml:space="preserve">1</t>
  </si>
  <si>
    <t xml:space="preserve">Домен .ru (1 год)</t>
  </si>
  <si>
    <t xml:space="preserve">2</t>
  </si>
  <si>
    <t xml:space="preserve">Хостинг GitHub Pages</t>
  </si>
  <si>
    <t xml:space="preserve">3</t>
  </si>
  <si>
    <t xml:space="preserve">Печать стикеров с QR-кодами для корпусов (40 шт.)</t>
  </si>
  <si>
    <t xml:space="preserve">4</t>
  </si>
  <si>
    <t xml:space="preserve">Figma Education</t>
  </si>
  <si>
    <t xml:space="preserve">5</t>
  </si>
  <si>
    <t xml:space="preserve">Реклама (анонс в Telegram-канале вуза и студенческих чатах)</t>
  </si>
  <si>
    <t xml:space="preserve">ИТОГО</t>
  </si>
  <si>
    <t xml:space="preserve">Kanban-доска (состояние на 17.10.2026)</t>
  </si>
  <si>
    <t xml:space="preserve">Задачи соответствуют диаграмме Ганта.</t>
  </si>
  <si>
    <t xml:space="preserve">В работе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</si>
</sst>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"/>
    <numFmt numFmtId="166" formatCode="dd\.mm\.yy"/>
    <numFmt numFmtId="167" formatCode="#\ ##0&quot; ₽&quot;"/>
  </numFmts>
  <fonts count="10">
    <font>
      <sz val="10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9.5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0000"/>
      </font>
      <fill>
        <patternFill>
          <bgColor rgb="FF595959"/>
        </patternFill>
      </fill>
    </dxf>
    <dxf>
      <font>
        <color rgb="FF000000"/>
      </font>
      <fill>
        <patternFill>
          <bgColor rgb="FFBFBFB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4609375" defaultRowHeight="15" customHeight="false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44.71"/>
    <col collapsed="false" customWidth="true" hidden="false" outlineLevel="0" max="3" min="3" style="0" width="21.71"/>
    <col collapsed="false" customWidth="true" hidden="false" outlineLevel="0" max="5" min="4" style="0" width="10.72"/>
    <col collapsed="false" customWidth="true" hidden="false" outlineLevel="0" max="6" min="6" style="0" width="6.71"/>
    <col collapsed="false" customWidth="true" hidden="false" outlineLevel="0" max="7" min="7" style="0" width="11.71"/>
    <col collapsed="false" customWidth="true" hidden="false" outlineLevel="0" max="16" min="8" style="0" width="6.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n">
        <v>46300</v>
      </c>
      <c r="I4" s="4" t="n">
        <v>46307</v>
      </c>
      <c r="J4" s="4" t="n">
        <v>46314</v>
      </c>
      <c r="K4" s="4" t="n">
        <v>46321</v>
      </c>
      <c r="L4" s="4" t="n">
        <v>46328</v>
      </c>
      <c r="M4" s="4" t="n">
        <v>46335</v>
      </c>
      <c r="N4" s="4" t="n">
        <v>46342</v>
      </c>
      <c r="O4" s="4" t="n">
        <v>46349</v>
      </c>
      <c r="P4" s="4" t="n">
        <v>46356</v>
      </c>
    </row>
    <row r="5" customFormat="false" ht="19.5" hidden="false" customHeight="true" outlineLevel="0" collapsed="false">
      <c r="A5" s="5" t="s">
        <v>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9.5" hidden="false" customHeight="true" outlineLevel="0" collapsed="false">
      <c r="A6" s="6" t="s">
        <v>10</v>
      </c>
      <c r="B6" s="7" t="s">
        <v>11</v>
      </c>
      <c r="C6" s="6" t="s">
        <v>12</v>
      </c>
      <c r="D6" s="8" t="n">
        <v>46300</v>
      </c>
      <c r="E6" s="8" t="n">
        <v>46302</v>
      </c>
      <c r="F6" s="6" t="n">
        <f aca="false">E6-D6+1</f>
        <v>3</v>
      </c>
      <c r="G6" s="6" t="s">
        <v>13</v>
      </c>
      <c r="H6" s="9"/>
      <c r="I6" s="9"/>
      <c r="J6" s="9"/>
      <c r="K6" s="9"/>
      <c r="L6" s="9"/>
      <c r="M6" s="9"/>
      <c r="N6" s="9"/>
      <c r="O6" s="9"/>
      <c r="P6" s="9"/>
    </row>
    <row r="7" customFormat="false" ht="19.5" hidden="false" customHeight="true" outlineLevel="0" collapsed="false">
      <c r="A7" s="6" t="s">
        <v>14</v>
      </c>
      <c r="B7" s="7" t="s">
        <v>15</v>
      </c>
      <c r="C7" s="6" t="s">
        <v>12</v>
      </c>
      <c r="D7" s="8" t="n">
        <v>46303</v>
      </c>
      <c r="E7" s="8" t="n">
        <v>46310</v>
      </c>
      <c r="F7" s="6" t="n">
        <f aca="false">E7-D7+1</f>
        <v>8</v>
      </c>
      <c r="G7" s="6" t="s">
        <v>13</v>
      </c>
      <c r="H7" s="9"/>
      <c r="I7" s="9"/>
      <c r="J7" s="9"/>
      <c r="K7" s="9"/>
      <c r="L7" s="9"/>
      <c r="M7" s="9"/>
      <c r="N7" s="9"/>
      <c r="O7" s="9"/>
      <c r="P7" s="9"/>
    </row>
    <row r="8" customFormat="false" ht="19.5" hidden="false" customHeight="true" outlineLevel="0" collapsed="false">
      <c r="A8" s="6" t="s">
        <v>16</v>
      </c>
      <c r="B8" s="7" t="s">
        <v>17</v>
      </c>
      <c r="C8" s="6" t="s">
        <v>12</v>
      </c>
      <c r="D8" s="8" t="n">
        <v>46307</v>
      </c>
      <c r="E8" s="8" t="n">
        <v>46310</v>
      </c>
      <c r="F8" s="6" t="n">
        <f aca="false">E8-D8+1</f>
        <v>4</v>
      </c>
      <c r="G8" s="6" t="s">
        <v>13</v>
      </c>
      <c r="H8" s="9"/>
      <c r="I8" s="9"/>
      <c r="J8" s="9"/>
      <c r="K8" s="9"/>
      <c r="L8" s="9"/>
      <c r="M8" s="9"/>
      <c r="N8" s="9"/>
      <c r="O8" s="9"/>
      <c r="P8" s="9"/>
    </row>
    <row r="9" customFormat="false" ht="19.5" hidden="false" customHeight="true" outlineLevel="0" collapsed="false">
      <c r="A9" s="6" t="s">
        <v>18</v>
      </c>
      <c r="B9" s="7" t="s">
        <v>19</v>
      </c>
      <c r="C9" s="6" t="s">
        <v>12</v>
      </c>
      <c r="D9" s="8" t="n">
        <v>46305</v>
      </c>
      <c r="E9" s="8" t="n">
        <v>46312</v>
      </c>
      <c r="F9" s="6" t="n">
        <f aca="false">E9-D9+1</f>
        <v>8</v>
      </c>
      <c r="G9" s="6" t="s">
        <v>13</v>
      </c>
      <c r="H9" s="9"/>
      <c r="I9" s="9"/>
      <c r="J9" s="9"/>
      <c r="K9" s="9"/>
      <c r="L9" s="9"/>
      <c r="M9" s="9"/>
      <c r="N9" s="9"/>
      <c r="O9" s="9"/>
      <c r="P9" s="9"/>
    </row>
    <row r="10" customFormat="false" ht="19.5" hidden="false" customHeight="true" outlineLevel="0" collapsed="false">
      <c r="A10" s="5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9.5" hidden="false" customHeight="true" outlineLevel="0" collapsed="false">
      <c r="A11" s="6" t="s">
        <v>21</v>
      </c>
      <c r="B11" s="7" t="s">
        <v>22</v>
      </c>
      <c r="C11" s="6" t="s">
        <v>23</v>
      </c>
      <c r="D11" s="8" t="n">
        <v>46307</v>
      </c>
      <c r="E11" s="8" t="n">
        <v>46313</v>
      </c>
      <c r="F11" s="6" t="n">
        <f aca="false">E11-D11+1</f>
        <v>7</v>
      </c>
      <c r="G11" s="6" t="s">
        <v>24</v>
      </c>
      <c r="H11" s="9"/>
      <c r="I11" s="9"/>
      <c r="J11" s="9"/>
      <c r="K11" s="9"/>
      <c r="L11" s="9"/>
      <c r="M11" s="9"/>
      <c r="N11" s="9"/>
      <c r="O11" s="9"/>
      <c r="P11" s="9"/>
    </row>
    <row r="12" customFormat="false" ht="19.5" hidden="false" customHeight="true" outlineLevel="0" collapsed="false">
      <c r="A12" s="6" t="s">
        <v>25</v>
      </c>
      <c r="B12" s="7" t="s">
        <v>26</v>
      </c>
      <c r="C12" s="6" t="s">
        <v>23</v>
      </c>
      <c r="D12" s="8" t="n">
        <v>46308</v>
      </c>
      <c r="E12" s="8" t="n">
        <v>46312</v>
      </c>
      <c r="F12" s="6" t="n">
        <f aca="false">E12-D12+1</f>
        <v>5</v>
      </c>
      <c r="G12" s="6" t="s">
        <v>13</v>
      </c>
      <c r="H12" s="9"/>
      <c r="I12" s="9"/>
      <c r="J12" s="9"/>
      <c r="K12" s="9"/>
      <c r="L12" s="9"/>
      <c r="M12" s="9"/>
      <c r="N12" s="9"/>
      <c r="O12" s="9"/>
      <c r="P12" s="9"/>
    </row>
    <row r="13" customFormat="false" ht="19.5" hidden="false" customHeight="true" outlineLevel="0" collapsed="false">
      <c r="A13" s="6" t="s">
        <v>27</v>
      </c>
      <c r="B13" s="7" t="s">
        <v>28</v>
      </c>
      <c r="C13" s="6" t="s">
        <v>23</v>
      </c>
      <c r="D13" s="8" t="n">
        <v>46309</v>
      </c>
      <c r="E13" s="8" t="n">
        <v>46317</v>
      </c>
      <c r="F13" s="6" t="n">
        <f aca="false">E13-D13+1</f>
        <v>9</v>
      </c>
      <c r="G13" s="6" t="s">
        <v>24</v>
      </c>
      <c r="H13" s="9"/>
      <c r="I13" s="9"/>
      <c r="J13" s="9"/>
      <c r="K13" s="9"/>
      <c r="L13" s="9"/>
      <c r="M13" s="9"/>
      <c r="N13" s="9"/>
      <c r="O13" s="9"/>
      <c r="P13" s="9"/>
    </row>
    <row r="14" customFormat="false" ht="19.5" hidden="false" customHeight="true" outlineLevel="0" collapsed="false">
      <c r="A14" s="6" t="s">
        <v>29</v>
      </c>
      <c r="B14" s="7" t="s">
        <v>30</v>
      </c>
      <c r="C14" s="6" t="s">
        <v>31</v>
      </c>
      <c r="D14" s="8" t="n">
        <v>46309</v>
      </c>
      <c r="E14" s="8" t="n">
        <v>46312</v>
      </c>
      <c r="F14" s="6" t="n">
        <f aca="false">E14-D14+1</f>
        <v>4</v>
      </c>
      <c r="G14" s="6" t="s">
        <v>13</v>
      </c>
      <c r="H14" s="9"/>
      <c r="I14" s="9"/>
      <c r="J14" s="9"/>
      <c r="K14" s="9"/>
      <c r="L14" s="9"/>
      <c r="M14" s="9"/>
      <c r="N14" s="9"/>
      <c r="O14" s="9"/>
      <c r="P14" s="9"/>
    </row>
    <row r="15" customFormat="false" ht="19.5" hidden="false" customHeight="true" outlineLevel="0" collapsed="false">
      <c r="A15" s="6" t="s">
        <v>32</v>
      </c>
      <c r="B15" s="7" t="s">
        <v>33</v>
      </c>
      <c r="C15" s="6" t="s">
        <v>31</v>
      </c>
      <c r="D15" s="8" t="n">
        <v>46313</v>
      </c>
      <c r="E15" s="8" t="n">
        <v>46317</v>
      </c>
      <c r="F15" s="6" t="n">
        <f aca="false">E15-D15+1</f>
        <v>5</v>
      </c>
      <c r="G15" s="6" t="s">
        <v>34</v>
      </c>
      <c r="H15" s="9"/>
      <c r="I15" s="9"/>
      <c r="J15" s="9"/>
      <c r="K15" s="9"/>
      <c r="L15" s="9"/>
      <c r="M15" s="9"/>
      <c r="N15" s="9"/>
      <c r="O15" s="9"/>
      <c r="P15" s="9"/>
    </row>
    <row r="16" customFormat="false" ht="19.5" hidden="false" customHeight="true" outlineLevel="0" collapsed="false">
      <c r="A16" s="5" t="s">
        <v>35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customFormat="false" ht="19.5" hidden="false" customHeight="true" outlineLevel="0" collapsed="false">
      <c r="A17" s="6" t="s">
        <v>36</v>
      </c>
      <c r="B17" s="7" t="s">
        <v>37</v>
      </c>
      <c r="C17" s="6" t="s">
        <v>38</v>
      </c>
      <c r="D17" s="8" t="n">
        <v>46314</v>
      </c>
      <c r="E17" s="8" t="n">
        <v>46318</v>
      </c>
      <c r="F17" s="6" t="n">
        <f aca="false">E17-D17+1</f>
        <v>5</v>
      </c>
      <c r="G17" s="6" t="s">
        <v>34</v>
      </c>
      <c r="H17" s="9"/>
      <c r="I17" s="9"/>
      <c r="J17" s="9"/>
      <c r="K17" s="9"/>
      <c r="L17" s="9"/>
      <c r="M17" s="9"/>
      <c r="N17" s="9"/>
      <c r="O17" s="9"/>
      <c r="P17" s="9"/>
    </row>
    <row r="18" customFormat="false" ht="19.5" hidden="false" customHeight="true" outlineLevel="0" collapsed="false">
      <c r="A18" s="6" t="s">
        <v>39</v>
      </c>
      <c r="B18" s="7" t="s">
        <v>40</v>
      </c>
      <c r="C18" s="6" t="s">
        <v>38</v>
      </c>
      <c r="D18" s="8" t="n">
        <v>46316</v>
      </c>
      <c r="E18" s="8" t="n">
        <v>46322</v>
      </c>
      <c r="F18" s="6" t="n">
        <f aca="false">E18-D18+1</f>
        <v>7</v>
      </c>
      <c r="G18" s="6" t="s">
        <v>34</v>
      </c>
      <c r="H18" s="9"/>
      <c r="I18" s="9"/>
      <c r="J18" s="9"/>
      <c r="K18" s="9"/>
      <c r="L18" s="9"/>
      <c r="M18" s="9"/>
      <c r="N18" s="9"/>
      <c r="O18" s="9"/>
      <c r="P18" s="9"/>
    </row>
    <row r="19" customFormat="false" ht="19.5" hidden="false" customHeight="true" outlineLevel="0" collapsed="false">
      <c r="A19" s="6" t="s">
        <v>41</v>
      </c>
      <c r="B19" s="7" t="s">
        <v>42</v>
      </c>
      <c r="C19" s="6" t="s">
        <v>38</v>
      </c>
      <c r="D19" s="8" t="n">
        <v>46317</v>
      </c>
      <c r="E19" s="8" t="n">
        <v>46324</v>
      </c>
      <c r="F19" s="6" t="n">
        <f aca="false">E19-D19+1</f>
        <v>8</v>
      </c>
      <c r="G19" s="6" t="s">
        <v>34</v>
      </c>
      <c r="H19" s="9"/>
      <c r="I19" s="9"/>
      <c r="J19" s="9"/>
      <c r="K19" s="9"/>
      <c r="L19" s="9"/>
      <c r="M19" s="9"/>
      <c r="N19" s="9"/>
      <c r="O19" s="9"/>
      <c r="P19" s="9"/>
    </row>
    <row r="20" customFormat="false" ht="19.5" hidden="false" customHeight="true" outlineLevel="0" collapsed="false">
      <c r="A20" s="6" t="s">
        <v>43</v>
      </c>
      <c r="B20" s="7" t="s">
        <v>44</v>
      </c>
      <c r="C20" s="6" t="s">
        <v>38</v>
      </c>
      <c r="D20" s="8" t="n">
        <v>46319</v>
      </c>
      <c r="E20" s="8" t="n">
        <v>46323</v>
      </c>
      <c r="F20" s="6" t="n">
        <f aca="false">E20-D20+1</f>
        <v>5</v>
      </c>
      <c r="G20" s="6" t="s">
        <v>34</v>
      </c>
      <c r="H20" s="9"/>
      <c r="I20" s="9"/>
      <c r="J20" s="9"/>
      <c r="K20" s="9"/>
      <c r="L20" s="9"/>
      <c r="M20" s="9"/>
      <c r="N20" s="9"/>
      <c r="O20" s="9"/>
      <c r="P20" s="9"/>
    </row>
    <row r="21" customFormat="false" ht="19.5" hidden="false" customHeight="true" outlineLevel="0" collapsed="false">
      <c r="A21" s="6" t="s">
        <v>45</v>
      </c>
      <c r="B21" s="7" t="s">
        <v>46</v>
      </c>
      <c r="C21" s="6" t="s">
        <v>38</v>
      </c>
      <c r="D21" s="8" t="n">
        <v>46321</v>
      </c>
      <c r="E21" s="8" t="n">
        <v>46325</v>
      </c>
      <c r="F21" s="6" t="n">
        <f aca="false">E21-D21+1</f>
        <v>5</v>
      </c>
      <c r="G21" s="6" t="s">
        <v>34</v>
      </c>
      <c r="H21" s="9"/>
      <c r="I21" s="9"/>
      <c r="J21" s="9"/>
      <c r="K21" s="9"/>
      <c r="L21" s="9"/>
      <c r="M21" s="9"/>
      <c r="N21" s="9"/>
      <c r="O21" s="9"/>
      <c r="P21" s="9"/>
    </row>
    <row r="22" customFormat="false" ht="19.5" hidden="false" customHeight="true" outlineLevel="0" collapsed="false">
      <c r="A22" s="6" t="s">
        <v>47</v>
      </c>
      <c r="B22" s="7" t="s">
        <v>48</v>
      </c>
      <c r="C22" s="6" t="s">
        <v>12</v>
      </c>
      <c r="D22" s="8" t="n">
        <v>46322</v>
      </c>
      <c r="E22" s="8" t="n">
        <v>46325</v>
      </c>
      <c r="F22" s="6" t="n">
        <f aca="false">E22-D22+1</f>
        <v>4</v>
      </c>
      <c r="G22" s="6" t="s">
        <v>34</v>
      </c>
      <c r="H22" s="9"/>
      <c r="I22" s="9"/>
      <c r="J22" s="9"/>
      <c r="K22" s="9"/>
      <c r="L22" s="9"/>
      <c r="M22" s="9"/>
      <c r="N22" s="9"/>
      <c r="O22" s="9"/>
      <c r="P22" s="9"/>
    </row>
    <row r="23" customFormat="false" ht="19.5" hidden="false" customHeight="true" outlineLevel="0" collapsed="false">
      <c r="A23" s="5" t="s">
        <v>49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9.5" hidden="false" customHeight="true" outlineLevel="0" collapsed="false">
      <c r="A24" s="6" t="s">
        <v>50</v>
      </c>
      <c r="B24" s="7" t="s">
        <v>51</v>
      </c>
      <c r="C24" s="6" t="s">
        <v>38</v>
      </c>
      <c r="D24" s="8" t="n">
        <v>46320</v>
      </c>
      <c r="E24" s="8" t="n">
        <v>46323</v>
      </c>
      <c r="F24" s="6" t="n">
        <f aca="false">E24-D24+1</f>
        <v>4</v>
      </c>
      <c r="G24" s="6" t="s">
        <v>34</v>
      </c>
      <c r="H24" s="9"/>
      <c r="I24" s="9"/>
      <c r="J24" s="9"/>
      <c r="K24" s="9"/>
      <c r="L24" s="9"/>
      <c r="M24" s="9"/>
      <c r="N24" s="9"/>
      <c r="O24" s="9"/>
      <c r="P24" s="9"/>
    </row>
    <row r="25" customFormat="false" ht="19.5" hidden="false" customHeight="true" outlineLevel="0" collapsed="false">
      <c r="A25" s="6" t="s">
        <v>52</v>
      </c>
      <c r="B25" s="7" t="s">
        <v>53</v>
      </c>
      <c r="C25" s="6" t="s">
        <v>31</v>
      </c>
      <c r="D25" s="8" t="n">
        <v>46324</v>
      </c>
      <c r="E25" s="8" t="n">
        <v>46328</v>
      </c>
      <c r="F25" s="6" t="n">
        <f aca="false">E25-D25+1</f>
        <v>5</v>
      </c>
      <c r="G25" s="6" t="s">
        <v>34</v>
      </c>
      <c r="H25" s="9"/>
      <c r="I25" s="9"/>
      <c r="J25" s="9"/>
      <c r="K25" s="9"/>
      <c r="L25" s="9"/>
      <c r="M25" s="9"/>
      <c r="N25" s="9"/>
      <c r="O25" s="9"/>
      <c r="P25" s="9"/>
    </row>
    <row r="26" customFormat="false" ht="19.5" hidden="false" customHeight="true" outlineLevel="0" collapsed="false">
      <c r="A26" s="6" t="s">
        <v>54</v>
      </c>
      <c r="B26" s="7" t="s">
        <v>55</v>
      </c>
      <c r="C26" s="6" t="s">
        <v>38</v>
      </c>
      <c r="D26" s="8" t="n">
        <v>46329</v>
      </c>
      <c r="E26" s="8" t="n">
        <v>46332</v>
      </c>
      <c r="F26" s="6" t="n">
        <f aca="false">E26-D26+1</f>
        <v>4</v>
      </c>
      <c r="G26" s="6" t="s">
        <v>34</v>
      </c>
      <c r="H26" s="9"/>
      <c r="I26" s="9"/>
      <c r="J26" s="9"/>
      <c r="K26" s="9"/>
      <c r="L26" s="9"/>
      <c r="M26" s="9"/>
      <c r="N26" s="9"/>
      <c r="O26" s="9"/>
      <c r="P26" s="9"/>
    </row>
    <row r="27" customFormat="false" ht="19.5" hidden="false" customHeight="true" outlineLevel="0" collapsed="false">
      <c r="A27" s="5" t="s">
        <v>56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19.5" hidden="false" customHeight="true" outlineLevel="0" collapsed="false">
      <c r="A28" s="6" t="s">
        <v>57</v>
      </c>
      <c r="B28" s="7" t="s">
        <v>58</v>
      </c>
      <c r="C28" s="6" t="s">
        <v>12</v>
      </c>
      <c r="D28" s="8" t="n">
        <v>46310</v>
      </c>
      <c r="E28" s="8" t="n">
        <v>46312</v>
      </c>
      <c r="F28" s="6" t="n">
        <f aca="false">E28-D28+1</f>
        <v>3</v>
      </c>
      <c r="G28" s="6" t="s">
        <v>13</v>
      </c>
      <c r="H28" s="9"/>
      <c r="I28" s="9"/>
      <c r="J28" s="9"/>
      <c r="K28" s="9"/>
      <c r="L28" s="9"/>
      <c r="M28" s="9"/>
      <c r="N28" s="9"/>
      <c r="O28" s="9"/>
      <c r="P28" s="9"/>
    </row>
    <row r="29" customFormat="false" ht="19.5" hidden="false" customHeight="true" outlineLevel="0" collapsed="false">
      <c r="A29" s="6" t="s">
        <v>59</v>
      </c>
      <c r="B29" s="7" t="s">
        <v>60</v>
      </c>
      <c r="C29" s="6" t="s">
        <v>12</v>
      </c>
      <c r="D29" s="8" t="n">
        <v>46315</v>
      </c>
      <c r="E29" s="8" t="n">
        <v>46323</v>
      </c>
      <c r="F29" s="6" t="n">
        <f aca="false">E29-D29+1</f>
        <v>9</v>
      </c>
      <c r="G29" s="6" t="s">
        <v>34</v>
      </c>
      <c r="H29" s="9"/>
      <c r="I29" s="9"/>
      <c r="J29" s="9"/>
      <c r="K29" s="9"/>
      <c r="L29" s="9"/>
      <c r="M29" s="9"/>
      <c r="N29" s="9"/>
      <c r="O29" s="9"/>
      <c r="P29" s="9"/>
    </row>
    <row r="30" customFormat="false" ht="19.5" hidden="false" customHeight="true" outlineLevel="0" collapsed="false">
      <c r="A30" s="6" t="s">
        <v>61</v>
      </c>
      <c r="B30" s="7" t="s">
        <v>62</v>
      </c>
      <c r="C30" s="6" t="s">
        <v>38</v>
      </c>
      <c r="D30" s="8" t="n">
        <v>46323</v>
      </c>
      <c r="E30" s="8" t="n">
        <v>46331</v>
      </c>
      <c r="F30" s="6" t="n">
        <f aca="false">E30-D30+1</f>
        <v>9</v>
      </c>
      <c r="G30" s="6" t="s">
        <v>34</v>
      </c>
      <c r="H30" s="9"/>
      <c r="I30" s="9"/>
      <c r="J30" s="9"/>
      <c r="K30" s="9"/>
      <c r="L30" s="9"/>
      <c r="M30" s="9"/>
      <c r="N30" s="9"/>
      <c r="O30" s="9"/>
      <c r="P30" s="9"/>
    </row>
    <row r="31" customFormat="false" ht="19.5" hidden="false" customHeight="true" outlineLevel="0" collapsed="false">
      <c r="A31" s="6" t="s">
        <v>63</v>
      </c>
      <c r="B31" s="7" t="s">
        <v>64</v>
      </c>
      <c r="C31" s="6" t="s">
        <v>12</v>
      </c>
      <c r="D31" s="8" t="n">
        <v>46357</v>
      </c>
      <c r="E31" s="8" t="n">
        <v>46357</v>
      </c>
      <c r="F31" s="6" t="n">
        <f aca="false">E31-D31+1</f>
        <v>1</v>
      </c>
      <c r="G31" s="6" t="s">
        <v>34</v>
      </c>
      <c r="H31" s="9"/>
      <c r="I31" s="9"/>
      <c r="J31" s="9"/>
      <c r="K31" s="9"/>
      <c r="L31" s="9"/>
      <c r="M31" s="9"/>
      <c r="N31" s="9"/>
      <c r="O31" s="9"/>
      <c r="P31" s="9"/>
    </row>
    <row r="33" customFormat="false" ht="15" hidden="false" customHeight="false" outlineLevel="0" collapsed="false">
      <c r="A33" s="2" t="s">
        <v>65</v>
      </c>
      <c r="B33" s="2"/>
      <c r="C33" s="2"/>
      <c r="D33" s="2"/>
      <c r="E33" s="2"/>
      <c r="F33" s="2"/>
      <c r="G33" s="2"/>
    </row>
    <row r="34" customFormat="false" ht="15" hidden="false" customHeight="false" outlineLevel="0" collapsed="false">
      <c r="A34" s="2" t="s">
        <v>66</v>
      </c>
      <c r="B34" s="2"/>
      <c r="C34" s="2"/>
      <c r="D34" s="2"/>
      <c r="E34" s="2"/>
      <c r="F34" s="2"/>
      <c r="G34" s="2"/>
    </row>
  </sheetData>
  <mergeCells count="9">
    <mergeCell ref="A1:P1"/>
    <mergeCell ref="A2:P2"/>
    <mergeCell ref="A5:P5"/>
    <mergeCell ref="A10:P10"/>
    <mergeCell ref="A16:P16"/>
    <mergeCell ref="A23:P23"/>
    <mergeCell ref="A27:P27"/>
    <mergeCell ref="A33:G33"/>
    <mergeCell ref="A34:G34"/>
  </mergeCells>
  <conditionalFormatting sqref="H5:P31">
    <cfRule type="expression" priority="2" aboveAverage="0" equalAverage="0" bottom="0" percent="0" rank="0" text="" dxfId="0">
      <formula>AND($G5="Done",$D5&lt;=H$4+6,$E5&gt;=H$4)</formula>
    </cfRule>
    <cfRule type="expression" priority="3" aboveAverage="0" equalAverage="0" bottom="0" percent="0" rank="0" text="" dxfId="1">
      <formula>AND($D5&lt;=H$4+6,$E5&gt;=H$4)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609375" defaultRowHeight="15" customHeight="false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5.71"/>
    <col collapsed="false" customWidth="true" hidden="false" outlineLevel="0" max="3" min="3" style="0" width="62.71"/>
    <col collapsed="false" customWidth="true" hidden="false" outlineLevel="0" max="4" min="4" style="0" width="16.71"/>
  </cols>
  <sheetData>
    <row r="2" customFormat="false" ht="24" hidden="false" customHeight="true" outlineLevel="0" collapsed="false">
      <c r="B2" s="10" t="s">
        <v>67</v>
      </c>
      <c r="C2" s="10"/>
      <c r="D2" s="10"/>
    </row>
    <row r="3" customFormat="false" ht="15" hidden="false" customHeight="false" outlineLevel="0" collapsed="false">
      <c r="B3" s="2" t="s">
        <v>68</v>
      </c>
      <c r="C3" s="2"/>
      <c r="D3" s="2"/>
    </row>
    <row r="5" customFormat="false" ht="15" hidden="false" customHeight="false" outlineLevel="0" collapsed="false">
      <c r="B5" s="11" t="s">
        <v>2</v>
      </c>
      <c r="C5" s="11" t="s">
        <v>69</v>
      </c>
      <c r="D5" s="11" t="s">
        <v>70</v>
      </c>
    </row>
    <row r="6" customFormat="false" ht="21.75" hidden="false" customHeight="true" outlineLevel="0" collapsed="false">
      <c r="B6" s="12" t="s">
        <v>71</v>
      </c>
      <c r="C6" s="13" t="s">
        <v>72</v>
      </c>
      <c r="D6" s="14" t="n">
        <v>200</v>
      </c>
    </row>
    <row r="7" customFormat="false" ht="21.75" hidden="false" customHeight="true" outlineLevel="0" collapsed="false">
      <c r="B7" s="12" t="s">
        <v>73</v>
      </c>
      <c r="C7" s="13" t="s">
        <v>74</v>
      </c>
      <c r="D7" s="14" t="n">
        <v>0</v>
      </c>
    </row>
    <row r="8" customFormat="false" ht="21.75" hidden="false" customHeight="true" outlineLevel="0" collapsed="false">
      <c r="B8" s="12" t="s">
        <v>75</v>
      </c>
      <c r="C8" s="13" t="s">
        <v>76</v>
      </c>
      <c r="D8" s="14" t="n">
        <v>3000</v>
      </c>
    </row>
    <row r="9" customFormat="false" ht="21.75" hidden="false" customHeight="true" outlineLevel="0" collapsed="false">
      <c r="B9" s="12" t="s">
        <v>77</v>
      </c>
      <c r="C9" s="13" t="s">
        <v>78</v>
      </c>
      <c r="D9" s="14" t="n">
        <v>0</v>
      </c>
    </row>
    <row r="10" customFormat="false" ht="21.75" hidden="false" customHeight="true" outlineLevel="0" collapsed="false">
      <c r="B10" s="12" t="s">
        <v>79</v>
      </c>
      <c r="C10" s="13" t="s">
        <v>80</v>
      </c>
      <c r="D10" s="14" t="n">
        <v>0</v>
      </c>
    </row>
    <row r="11" customFormat="false" ht="21.75" hidden="false" customHeight="true" outlineLevel="0" collapsed="false">
      <c r="B11" s="15" t="s">
        <v>81</v>
      </c>
      <c r="C11" s="15"/>
      <c r="D11" s="16" t="n">
        <f aca="false">SUM(D6:D10)</f>
        <v>3200</v>
      </c>
    </row>
  </sheetData>
  <mergeCells count="3">
    <mergeCell ref="B2:D2"/>
    <mergeCell ref="B3:D3"/>
    <mergeCell ref="B11:C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609375" defaultRowHeight="15" customHeight="false" zeroHeight="false" outlineLevelRow="0" outlineLevelCol="0"/>
  <cols>
    <col collapsed="false" customWidth="true" hidden="false" outlineLevel="0" max="3" min="1" style="0" width="38.71"/>
  </cols>
  <sheetData>
    <row r="1" customFormat="false" ht="24" hidden="false" customHeight="true" outlineLevel="0" collapsed="false">
      <c r="A1" s="1" t="s">
        <v>82</v>
      </c>
      <c r="B1" s="1"/>
      <c r="C1" s="1"/>
    </row>
    <row r="2" customFormat="false" ht="15" hidden="false" customHeight="false" outlineLevel="0" collapsed="false">
      <c r="A2" s="2" t="s">
        <v>83</v>
      </c>
      <c r="B2" s="2"/>
      <c r="C2" s="2"/>
    </row>
    <row r="3" customFormat="false" ht="19.5" hidden="false" customHeight="true" outlineLevel="0" collapsed="false">
      <c r="A3" s="11" t="s">
        <v>34</v>
      </c>
      <c r="B3" s="11" t="s">
        <v>84</v>
      </c>
      <c r="C3" s="11" t="s">
        <v>13</v>
      </c>
    </row>
    <row r="4" customFormat="false" ht="19.5" hidden="false" customHeight="true" outlineLevel="0" collapsed="false">
      <c r="A4" s="17" t="s">
        <v>33</v>
      </c>
      <c r="B4" s="17" t="s">
        <v>22</v>
      </c>
      <c r="C4" s="17" t="s">
        <v>11</v>
      </c>
    </row>
    <row r="5" customFormat="false" ht="19.5" hidden="false" customHeight="true" outlineLevel="0" collapsed="false">
      <c r="A5" s="17" t="s">
        <v>37</v>
      </c>
      <c r="B5" s="17" t="s">
        <v>28</v>
      </c>
      <c r="C5" s="17" t="s">
        <v>15</v>
      </c>
    </row>
    <row r="6" customFormat="false" ht="19.5" hidden="false" customHeight="true" outlineLevel="0" collapsed="false">
      <c r="A6" s="17" t="s">
        <v>40</v>
      </c>
      <c r="B6" s="17"/>
      <c r="C6" s="17" t="s">
        <v>17</v>
      </c>
    </row>
    <row r="7" customFormat="false" ht="19.5" hidden="false" customHeight="true" outlineLevel="0" collapsed="false">
      <c r="A7" s="17" t="s">
        <v>42</v>
      </c>
      <c r="B7" s="17"/>
      <c r="C7" s="17" t="s">
        <v>19</v>
      </c>
    </row>
    <row r="8" customFormat="false" ht="19.5" hidden="false" customHeight="true" outlineLevel="0" collapsed="false">
      <c r="A8" s="17" t="s">
        <v>44</v>
      </c>
      <c r="B8" s="17"/>
      <c r="C8" s="17" t="s">
        <v>26</v>
      </c>
    </row>
    <row r="9" customFormat="false" ht="19.5" hidden="false" customHeight="true" outlineLevel="0" collapsed="false">
      <c r="A9" s="17" t="s">
        <v>46</v>
      </c>
      <c r="B9" s="17"/>
      <c r="C9" s="17" t="s">
        <v>30</v>
      </c>
    </row>
    <row r="10" customFormat="false" ht="19.5" hidden="false" customHeight="true" outlineLevel="0" collapsed="false">
      <c r="A10" s="17" t="s">
        <v>48</v>
      </c>
      <c r="B10" s="17"/>
      <c r="C10" s="17" t="s">
        <v>58</v>
      </c>
    </row>
    <row r="11" customFormat="false" ht="19.5" hidden="false" customHeight="true" outlineLevel="0" collapsed="false">
      <c r="A11" s="17" t="s">
        <v>51</v>
      </c>
      <c r="B11" s="17"/>
      <c r="C11" s="17"/>
    </row>
    <row r="12" customFormat="false" ht="19.5" hidden="false" customHeight="true" outlineLevel="0" collapsed="false">
      <c r="A12" s="17" t="s">
        <v>53</v>
      </c>
      <c r="B12" s="17"/>
      <c r="C12" s="17"/>
    </row>
    <row r="13" customFormat="false" ht="19.5" hidden="false" customHeight="true" outlineLevel="0" collapsed="false">
      <c r="A13" s="17" t="s">
        <v>55</v>
      </c>
      <c r="B13" s="17"/>
      <c r="C13" s="17"/>
    </row>
    <row r="14" customFormat="false" ht="19.5" hidden="false" customHeight="true" outlineLevel="0" collapsed="false">
      <c r="A14" s="17" t="s">
        <v>60</v>
      </c>
      <c r="B14" s="17"/>
      <c r="C14" s="17"/>
    </row>
    <row r="15" customFormat="false" ht="19.5" hidden="false" customHeight="true" outlineLevel="0" collapsed="false">
      <c r="A15" s="17" t="s">
        <v>62</v>
      </c>
      <c r="B15" s="17"/>
      <c r="C15" s="17"/>
    </row>
    <row r="16" customFormat="false" ht="19.5" hidden="false" customHeight="true" outlineLevel="0" collapsed="false">
      <c r="A16" s="17" t="s">
        <v>64</v>
      </c>
      <c r="B16" s="17"/>
      <c r="C16" s="17"/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2026-10-17T16:56:33Z</dcterms:created>
  <dc:creator/>
  <dc:description/>
  <dc:language>en-US</dc:language>
  <cp:lastModifiedBy/>
  <dcterms:modified xsi:type="dcterms:W3CDTF">2026-10-17T16:56:33Z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